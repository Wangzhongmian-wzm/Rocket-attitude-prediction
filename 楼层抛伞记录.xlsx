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桌面\市级民办团队项目\国家精品课科技教育\"/>
    </mc:Choice>
  </mc:AlternateContent>
  <bookViews>
    <workbookView windowWidth="24350" windowHeight="12880" activeTab="2"/>
  </bookViews>
  <sheets>
    <sheet name="Sheet3" sheetId="1" r:id="rId1"/>
    <sheet name="Sheet2" sheetId="7" r:id="rId2"/>
    <sheet name="Sheet1" sheetId="2" r:id="rId3"/>
    <sheet name="7.5m原始记录" sheetId="3" r:id="rId4"/>
    <sheet name="13.5m原始记录" sheetId="4" r:id="rId5"/>
    <sheet name="15.5m原始记录" sheetId="5" r:id="rId6"/>
    <sheet name="三高度汇总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<sst xmlns="http://schemas.openxmlformats.org/spreadsheetml/2006/main" count="110" uniqueCount="61">
  <si>
    <t>风速 v (m/s)</t>
  </si>
  <si>
    <t>第 1 次 d (m)</t>
  </si>
  <si>
    <t>第 2 次 d (m)</t>
  </si>
  <si>
    <t>第 3 次 d (m)</t>
  </si>
  <si>
    <t>第 4 次 d (m)</t>
  </si>
  <si>
    <t>第 5 次 d (m)</t>
  </si>
  <si>
    <t>平均 d (m)</t>
  </si>
  <si>
    <t>留空时间 t (s)</t>
  </si>
  <si>
    <t>备注</t>
  </si>
  <si>
    <t>实测：5 次取平均</t>
  </si>
  <si>
    <t>11.5 m 楼层抛伞组 · 5 档风速汇总。前五档（绿底）为实测均值，其中 v = 2.5 / 3.3 两档为 2026-10-04 室外实测所得（此前表内填的是模型预测值，已更正）；三档推算高度（7.5 / 13.5 / 15.5 m）见各记录单。</t>
  </si>
  <si>
    <t>高度</t>
  </si>
  <si>
    <t>风速 (m/s)</t>
  </si>
  <si>
    <t>平均距离  (m)</t>
  </si>
  <si>
    <t>次数</t>
  </si>
  <si>
    <t>水火箭落点预测 · 测量位移实验记录单（7.5 m 楼层抛伞）</t>
  </si>
  <si>
    <t>释放高度（m）</t>
  </si>
  <si>
    <t>★ 推算值（非实测）：k = 2.003、b = 0.602、t = 3.18 s，由两个实测锚点拟合的幂律 k(h)=0.2733·h^0.9885、b(h)=0.2092·h^0.5243、t(h)=0.9896·h^0.5800 推算。v = 0.0 在实测风区（0.2~3.3 m/s）内，仅做「高度」一层推算。实测后请把 5 次原始值填入 C~G 列，H 列改为 =AVERAGE(C3:G3)，并删掉本备注。</t>
  </si>
  <si>
    <t>★ 推算值（非实测）：k = 2.003、b = 0.602、t = 3.18 s，由两个实测锚点拟合的幂律 k(h)=0.2733·h^0.9885、b(h)=0.2092·h^0.5243、t(h)=0.9896·h^0.5800 推算。v = 0.8 在实测风区（0.2~3.3 m/s）内，仅做「高度」一层推算。实测后请把 5 次原始值填入 C~G 列，H 列改为 =AVERAGE(C4:G4)，并删掉本备注。</t>
  </si>
  <si>
    <t>★ 推算值（非实测）：k = 2.003、b = 0.602、t = 3.18 s，由两个实测锚点拟合的幂律 k(h)=0.2733·h^0.9885、b(h)=0.2092·h^0.5243、t(h)=0.9896·h^0.5800 推算。v = 1.7 在实测风区（0.2~3.3 m/s）内，仅做「高度」一层推算。实测后请把 5 次原始值填入 C~G 列，H 列改为 =AVERAGE(C5:G5)，并删掉本备注。</t>
  </si>
  <si>
    <t>★★ 推算值（非实测）：k = 2.003、b = 0.602、t = 3.18 s，由两个实测锚点拟合的幂律 k(h)=0.2733·h^0.9885、b(h)=0.2092·h^0.5243、t(h)=0.9896·h^0.5800 推算。v = %.1f 属实测风区（0.2~3.3）之外，双重外推，误差更大。实测后请把 5 次原始值填入 C~G 列，H 列改为 =AVERAGE(C6:G6)，并删掉本备注。</t>
  </si>
  <si>
    <t>★★ 推算值（非实测）：k = 2.003、b = 0.602、t = 3.18 s，由两个实测锚点拟合的幂律 k(h)=0.2733·h^0.9885、b(h)=0.2092·h^0.5243、t(h)=0.9896·h^0.5800 推算。v = %.1f 属实测风区（0.2~3.3）之外，双重外推，误差更大。实测后请把 5 次原始值填入 C~G 列，H 列改为 =AVERAGE(C7:G7)，并删掉本备注。</t>
  </si>
  <si>
    <t>本表质量说明（如实填写，非编造）：
① 本表 5 行「第 1~5 次 d」共 25 个单次测量值一格未填（浅黄底）—— 这个高度尚未实测，不能编。
② H 列「平均 d」与 I 列「留空时间」为推算值（深黄底、斜体），来自本表模型 d(v) = 2.003·v + 0.602。
③ 模型怎么来的：目前只有两个高度有真数据 —— 1.55 m（课内风扇组，25 个原始点，k=0.4215、b=0.2633）和 11.5 m（室外楼层抛伞组，5 档实测 25 个原始点，k=3.0559、b=0.7530，R²=0.9942）。用这两组锚点拟合幂律 k(h)=0.2733·h^0.9885、b(h)=0.2092·h^0.5243、t(h)=0.9896·h^0.5800，两个锚点都能精确回代。
④ 可信度：7.5 m 在两实测锚点之间（内插），相对可信；13.5 m、15.5 m 超出 11.5 m（外推），且锚点只有 2 个、指数不确定度大。另外两个锚点并非同一装置（课内风扇 vs 室外楼层抛伞，载荷不同），本表数值只能用于课堂演示与量级判断，不能当作实测结果引用。
⑤ 实测风区为 0.2 ~ 3.3 m/s；2.5 / 3.3 两档（★★）此时只是「高度」这一层未测，风区本身是覆盖到的。
⑥ 真测之后：把 5 次原始值填进 C~G，H 列改 =AVERAGE(C3:G3)，重新做最小二乘，再拿新斜率校核本模型。</t>
  </si>
  <si>
    <t>水火箭落点预测 · 测量位移实验记录单（13.5 m 楼层抛伞）</t>
  </si>
  <si>
    <t>★ 推算值（非实测）：k = 3.581、b = 0.819、t = 4.48 s，由两个实测锚点拟合的幂律 k(h)=0.2733·h^0.9885、b(h)=0.2092·h^0.5243、t(h)=0.9896·h^0.5800 推算。v = 0.0 在实测风区（0.2~3.3 m/s）内，仅做「高度」一层推算。实测后请把 5 次原始值填入 C~G 列，H 列改为 =AVERAGE(C3:G3)，并删掉本备注。</t>
  </si>
  <si>
    <t>★ 推算值（非实测）：k = 3.581、b = 0.819、t = 4.48 s，由两个实测锚点拟合的幂律 k(h)=0.2733·h^0.9885、b(h)=0.2092·h^0.5243、t(h)=0.9896·h^0.5800 推算。v = 0.8 在实测风区（0.2~3.3 m/s）内，仅做「高度」一层推算。实测后请把 5 次原始值填入 C~G 列，H 列改为 =AVERAGE(C4:G4)，并删掉本备注。</t>
  </si>
  <si>
    <t>★ 推算值（非实测）：k = 3.581、b = 0.819、t = 4.48 s，由两个实测锚点拟合的幂律 k(h)=0.2733·h^0.9885、b(h)=0.2092·h^0.5243、t(h)=0.9896·h^0.5800 推算。v = 1.7 在实测风区（0.2~3.3 m/s）内，仅做「高度」一层推算。实测后请把 5 次原始值填入 C~G 列，H 列改为 =AVERAGE(C5:G5)，并删掉本备注。</t>
  </si>
  <si>
    <t>★★ 推算值（非实测）：k = 3.581、b = 0.819、t = 4.48 s，由两个实测锚点拟合的幂律 k(h)=0.2733·h^0.9885、b(h)=0.2092·h^0.5243、t(h)=0.9896·h^0.5800 推算。v = %.1f 属实测风区（0.2~3.3）之外，双重外推，误差更大。实测后请把 5 次原始值填入 C~G 列，H 列改为 =AVERAGE(C6:G6)，并删掉本备注。</t>
  </si>
  <si>
    <t>★★ 推算值（非实测）：k = 3.581、b = 0.819、t = 4.48 s，由两个实测锚点拟合的幂律 k(h)=0.2733·h^0.9885、b(h)=0.2092·h^0.5243、t(h)=0.9896·h^0.5800 推算。v = %.1f 属实测风区（0.2~3.3）之外，双重外推，误差更大。实测后请把 5 次原始值填入 C~G 列，H 列改为 =AVERAGE(C7:G7)，并删掉本备注。</t>
  </si>
  <si>
    <t>本表质量说明（如实填写，非编造）：
① 本表 5 行「第 1~5 次 d」共 25 个单次测量值一格未填（浅黄底）—— 这个高度尚未实测，不能编。
② H 列「平均 d」与 I 列「留空时间」为推算值（深黄底、斜体），来自本表模型 d(v) = 3.581·v + 0.819。
③ 模型怎么来的：目前只有两个高度有真数据 —— 1.55 m（课内风扇组，25 个原始点，k=0.4215、b=0.2633）和 11.5 m（室外楼层抛伞组，5 档实测 25 个原始点，k=3.0559、b=0.7530，R²=0.9942）。用这两组锚点拟合幂律 k(h)=0.2733·h^0.9885、b(h)=0.2092·h^0.5243、t(h)=0.9896·h^0.5800，两个锚点都能精确回代。
④ 可信度：7.5 m 在两实测锚点之间（内插），相对可信；13.5 m、15.5 m 超出 11.5 m（外推），且锚点只有 2 个、指数不确定度大。另外两个锚点并非同一装置（课内风扇 vs 室外楼层抛伞，载荷不同），本表数值只能用于课堂演示与量级判断，不能当作实测结果引用。
⑤ 实测风区为 0.2 ~ 3.3 m/s；2.5 / 3.3 两档（★★）此时只是「高度」这一层未测，风区本身是覆盖到的。
⑥ 真测之后：把 5 次原始值填进 C~G，H 列改 =AVERAGE(C3:G3)，重新做最小二乘，再拿新斜率校核本模型。</t>
  </si>
  <si>
    <t>水火箭落点预测 · 测量位移实验记录单（15.5 m 楼层抛伞）</t>
  </si>
  <si>
    <t>★ 推算值（非实测）：k = 4.105、b = 0.880、t = 4.85 s，由两个实测锚点拟合的幂律 k(h)=0.2733·h^0.9885、b(h)=0.2092·h^0.5243、t(h)=0.9896·h^0.5800 推算。v = 0.0 在实测风区（0.2~3.3 m/s）内，仅做「高度」一层推算。实测后请把 5 次原始值填入 C~G 列，H 列改为 =AVERAGE(C3:G3)，并删掉本备注。</t>
  </si>
  <si>
    <t>★ 推算值（非实测）：k = 4.105、b = 0.880、t = 4.85 s，由两个实测锚点拟合的幂律 k(h)=0.2733·h^0.9885、b(h)=0.2092·h^0.5243、t(h)=0.9896·h^0.5800 推算。v = 0.8 在实测风区（0.2~3.3 m/s）内，仅做「高度」一层推算。实测后请把 5 次原始值填入 C~G 列，H 列改为 =AVERAGE(C4:G4)，并删掉本备注。</t>
  </si>
  <si>
    <t>★ 推算值（非实测）：k = 4.105、b = 0.880、t = 4.85 s，由两个实测锚点拟合的幂律 k(h)=0.2733·h^0.9885、b(h)=0.2092·h^0.5243、t(h)=0.9896·h^0.5800 推算。v = 1.7 在实测风区（0.2~3.3 m/s）内，仅做「高度」一层推算。实测后请把 5 次原始值填入 C~G 列，H 列改为 =AVERAGE(C5:G5)，并删掉本备注。</t>
  </si>
  <si>
    <t>★★ 推算值（非实测）：k = 4.105、b = 0.880、t = 4.85 s，由两个实测锚点拟合的幂律 k(h)=0.2733·h^0.9885、b(h)=0.2092·h^0.5243、t(h)=0.9896·h^0.5800 推算。v = %.1f 属实测风区（0.2~3.3）之外，双重外推，误差更大。实测后请把 5 次原始值填入 C~G 列，H 列改为 =AVERAGE(C6:G6)，并删掉本备注。</t>
  </si>
  <si>
    <t>★★ 推算值（非实测）：k = 4.105、b = 0.880、t = 4.85 s，由两个实测锚点拟合的幂律 k(h)=0.2733·h^0.9885、b(h)=0.2092·h^0.5243、t(h)=0.9896·h^0.5800 推算。v = %.1f 属实测风区（0.2~3.3）之外，双重外推，误差更大。实测后请把 5 次原始值填入 C~G 列，H 列改为 =AVERAGE(C7:G7)，并删掉本备注。</t>
  </si>
  <si>
    <t>本表质量说明（如实填写，非编造）：
① 本表 5 行「第 1~5 次 d」共 25 个单次测量值一格未填（浅黄底）—— 这个高度尚未实测，不能编。
② H 列「平均 d」与 I 列「留空时间」为推算值（深黄底、斜体），来自本表模型 d(v) = 4.105·v + 0.880。
③ 模型怎么来的：目前只有两个高度有真数据 —— 1.55 m（课内风扇组，25 个原始点，k=0.4215、b=0.2633）和 11.5 m（室外楼层抛伞组，5 档实测 25 个原始点，k=3.0559、b=0.7530，R²=0.9942）。用这两组锚点拟合幂律 k(h)=0.2733·h^0.9885、b(h)=0.2092·h^0.5243、t(h)=0.9896·h^0.5800，两个锚点都能精确回代。
④ 可信度：7.5 m 在两实测锚点之间（内插），相对可信；13.5 m、15.5 m 超出 11.5 m（外推），且锚点只有 2 个、指数不确定度大。另外两个锚点并非同一装置（课内风扇 vs 室外楼层抛伞，载荷不同），本表数值只能用于课堂演示与量级判断，不能当作实测结果引用。
⑤ 实测风区为 0.2 ~ 3.3 m/s；2.5 / 3.3 两档（★★）此时只是「高度」这一层未测，风区本身是覆盖到的。
⑥ 真测之后：把 5 次原始值填进 C~G，H 列改 =AVERAGE(C3:G3)，重新做最小二乘，再拿新斜率校核本模型。</t>
  </si>
  <si>
    <t>水火箭落点预测 · 高度参数与推算位移（7.5 / 13.5 / 15.5 m，三档均为推算值）</t>
  </si>
  <si>
    <t>释放高度 h (m)</t>
  </si>
  <si>
    <t>斜率 k (s)</t>
  </si>
  <si>
    <t>截距 b (m)</t>
  </si>
  <si>
    <t>R²</t>
  </si>
  <si>
    <t>数据来源</t>
  </si>
  <si>
    <t>说明</t>
  </si>
  <si>
    <t>—</t>
  </si>
  <si>
    <t>★ 推算（无实测）</t>
  </si>
  <si>
    <t>实测（5 档 25 个原始点）</t>
  </si>
  <si>
    <t>实测（25 个原始点，风扇）</t>
  </si>
  <si>
    <t>推算位移表 · d = k·v + b（单位：m）</t>
  </si>
  <si>
    <t>v = 0</t>
  </si>
  <si>
    <t>v = 0.8</t>
  </si>
  <si>
    <t>v = 1.7</t>
  </si>
  <si>
    <t>v = 2.5</t>
  </si>
  <si>
    <t>v = 3.3</t>
  </si>
  <si>
    <t>模型参数</t>
  </si>
  <si>
    <t>k=2.003 b=0.602 t=3.18s</t>
  </si>
  <si>
    <t>k=3.581 b=0.819 t=4.48s</t>
  </si>
  <si>
    <t>k=4.105 b=0.880 t=4.85s</t>
  </si>
  <si>
    <t>k=3.0559 b=0.753（实测回归）</t>
  </si>
  <si>
    <t>k=0.4215 b=0.2633（实测回归）</t>
  </si>
  <si>
    <t>读数请注意（三档全是推算，不是实测）：
① 三张记录单里「第 1~5 次 d」共 75 个单次值全部留空 —— 这些高度从未实测，一格不编。
② k 随高度明显增大：1.55 m → 0.4215 s，11.5 m → 3.0559 s，7.5 m → 2.003 s，13.5 m → 3.581 s，15.5 m → 4.105 s。
③ 7.5 m 在两实测锚点之间（内插），相对可信；13.5 m、15.5 m 超出 11.5 m（外推），且锚点只有 2 个，指数不确定度大。PPT 上建议只说「k 随高度增大」，不要给到两位小数。
④ 两个锚点不是同一装置（课内风扇 vs 室外楼层抛伞，载荷质量不同）—— 这是本模型最大隐患，要写进论文或申报材料，必须先补一组「同装置、只变高度」的对照实验。
⑤ 课堂建议：这五档并排放，只用来讲「k 会随高度变，所以模型里要加高度参数」；不要宣称「能精确预测 15.5 m 的落点」。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</si>
</sst>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3">
    <font>
      <sz val="11"/>
      <color theme="1"/>
      <name val="宋体"/>
      <charset val="134"/>
      <scheme val="minor"/>
    </font>
    <font>
      <b/>
      <sz val="14"/>
      <color rgb="FF3B5643"/>
      <name val="Microsoft YaHei"/>
      <charset val="134"/>
    </font>
    <font>
      <b/>
      <sz val="10.5"/>
      <color rgb="FFFFFFFF"/>
      <name val="Microsoft YaHei"/>
      <charset val="134"/>
    </font>
    <font>
      <b/>
      <sz val="10.5"/>
      <color rgb="FF000000"/>
      <name val="Microsoft YaHei"/>
      <charset val="134"/>
    </font>
    <font>
      <b/>
      <i/>
      <sz val="10.5"/>
      <color rgb="FF7A5A00"/>
      <name val="Microsoft YaHei"/>
      <charset val="134"/>
    </font>
    <font>
      <sz val="9.5"/>
      <color rgb="FF7A5A00"/>
      <name val="Microsoft YaHei"/>
      <charset val="134"/>
    </font>
    <font>
      <sz val="9.5"/>
      <color rgb="FF000000"/>
      <name val="Microsoft YaHei"/>
      <charset val="134"/>
    </font>
    <font>
      <b/>
      <sz val="12"/>
      <color rgb="FF3B5643"/>
      <name val="Microsoft YaHei"/>
      <charset val="134"/>
    </font>
    <font>
      <sz val="10.5"/>
      <color rgb="FF000000"/>
      <name val="Microsoft YaHei"/>
      <charset val="134"/>
    </font>
    <font>
      <sz val="9.5"/>
      <color rgb="FF7A3D12"/>
      <name val="Microsoft YaHei"/>
      <charset val="134"/>
    </font>
    <font>
      <sz val="10.5"/>
      <color rgb="FF000000"/>
      <name val="宋体"/>
      <charset val="134"/>
      <scheme val="major"/>
    </font>
    <font>
      <sz val="10.5"/>
      <color rgb="FFFFFFFF"/>
      <name val="宋体"/>
      <charset val="134"/>
      <scheme val="major"/>
    </font>
    <font>
      <sz val="10.5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B56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F0E4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>
      <left/>
      <right/>
      <top style="thin">
        <color rgb="FFB4B2A9"/>
      </top>
      <bottom style="thin">
        <color rgb="FFB4B2A9"/>
      </bottom>
      <diagonal/>
    </border>
    <border>
      <left/>
      <right style="thin">
        <color rgb="FFB4B2A9"/>
      </right>
      <top style="thin">
        <color rgb="FFB4B2A9"/>
      </top>
      <bottom style="thin">
        <color rgb="FFB4B2A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7" borderId="5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6">
      <alignment vertical="center"/>
    </xf>
    <xf numFmtId="0" fontId="20" fillId="0" borderId="6">
      <alignment vertical="center"/>
    </xf>
    <xf numFmtId="0" fontId="21" fillId="0" borderId="7">
      <alignment vertical="center"/>
    </xf>
    <xf numFmtId="0" fontId="21" fillId="0" borderId="0">
      <alignment vertical="center"/>
    </xf>
    <xf numFmtId="0" fontId="22" fillId="8" borderId="8">
      <alignment vertical="center"/>
    </xf>
    <xf numFmtId="0" fontId="23" fillId="9" borderId="9">
      <alignment vertical="center"/>
    </xf>
    <xf numFmtId="0" fontId="24" fillId="9" borderId="8">
      <alignment vertical="center"/>
    </xf>
    <xf numFmtId="0" fontId="25" fillId="10" borderId="10">
      <alignment vertical="center"/>
    </xf>
    <xf numFmtId="0" fontId="26" fillId="0" borderId="11">
      <alignment vertical="center"/>
    </xf>
    <xf numFmtId="0" fontId="27" fillId="0" borderId="12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2" fillId="35" borderId="0">
      <alignment vertical="center"/>
    </xf>
    <xf numFmtId="0" fontId="32" fillId="36" borderId="0">
      <alignment vertical="center"/>
    </xf>
    <xf numFmtId="0" fontId="31" fillId="37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88947368421053"/>
          <c:y val="0.174074074074074"/>
          <c:w val="0.912157894736842"/>
          <c:h val="0.606342592592593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Sheet3!$A$2:$F$2</c:f>
              <c:strCache>
                <c:ptCount val="6"/>
                <c:pt idx="0">
                  <c:v>风速 v (m/s)</c:v>
                </c:pt>
                <c:pt idx="1">
                  <c:v>第 1 次 d (m)</c:v>
                </c:pt>
                <c:pt idx="2">
                  <c:v>第 2 次 d (m)</c:v>
                </c:pt>
                <c:pt idx="3">
                  <c:v>第 3 次 d (m)</c:v>
                </c:pt>
                <c:pt idx="4">
                  <c:v>第 4 次 d (m)</c:v>
                </c:pt>
                <c:pt idx="5">
                  <c:v>第 5 次 d (m)</c:v>
                </c:pt>
              </c:strCache>
            </c:strRef>
          </c:xVal>
          <c:yVal>
            <c:numRef>
              <c:f>Sheet3!$A$3:$F$3</c:f>
              <c:numCache>
                <c:formatCode>General</c:formatCode>
                <c:ptCount val="6"/>
                <c:pt idx="0">
                  <c:v>0.2</c:v>
                </c:pt>
                <c:pt idx="1">
                  <c:v>0.3</c:v>
                </c:pt>
                <c:pt idx="2">
                  <c:v>1</c:v>
                </c:pt>
                <c:pt idx="3">
                  <c:v>2.5</c:v>
                </c:pt>
                <c:pt idx="4">
                  <c:v>1</c:v>
                </c:pt>
                <c:pt idx="5">
                  <c:v>0.7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strRef>
              <c:f>Sheet3!$A$2:$F$2</c:f>
              <c:strCache>
                <c:ptCount val="6"/>
                <c:pt idx="0">
                  <c:v>风速 v (m/s)</c:v>
                </c:pt>
                <c:pt idx="1">
                  <c:v>第 1 次 d (m)</c:v>
                </c:pt>
                <c:pt idx="2">
                  <c:v>第 2 次 d (m)</c:v>
                </c:pt>
                <c:pt idx="3">
                  <c:v>第 3 次 d (m)</c:v>
                </c:pt>
                <c:pt idx="4">
                  <c:v>第 4 次 d (m)</c:v>
                </c:pt>
                <c:pt idx="5">
                  <c:v>第 5 次 d (m)</c:v>
                </c:pt>
              </c:strCache>
            </c:strRef>
          </c:xVal>
          <c:yVal>
            <c:numRef>
              <c:f>Sheet3!$A$4:$F$4</c:f>
              <c:numCache>
                <c:formatCode>General</c:formatCode>
                <c:ptCount val="6"/>
                <c:pt idx="0">
                  <c:v>0.8</c:v>
                </c:pt>
                <c:pt idx="1">
                  <c:v>3.8</c:v>
                </c:pt>
                <c:pt idx="2">
                  <c:v>2.4</c:v>
                </c:pt>
                <c:pt idx="3">
                  <c:v>3.9</c:v>
                </c:pt>
                <c:pt idx="4">
                  <c:v>4.2</c:v>
                </c:pt>
                <c:pt idx="5">
                  <c:v>3.5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strRef>
              <c:f>Sheet3!$A$2:$F$2</c:f>
              <c:strCache>
                <c:ptCount val="6"/>
                <c:pt idx="0">
                  <c:v>风速 v (m/s)</c:v>
                </c:pt>
                <c:pt idx="1">
                  <c:v>第 1 次 d (m)</c:v>
                </c:pt>
                <c:pt idx="2">
                  <c:v>第 2 次 d (m)</c:v>
                </c:pt>
                <c:pt idx="3">
                  <c:v>第 3 次 d (m)</c:v>
                </c:pt>
                <c:pt idx="4">
                  <c:v>第 4 次 d (m)</c:v>
                </c:pt>
                <c:pt idx="5">
                  <c:v>第 5 次 d (m)</c:v>
                </c:pt>
              </c:strCache>
            </c:strRef>
          </c:xVal>
          <c:yVal>
            <c:numRef>
              <c:f>Sheet3!$A$5:$F$5</c:f>
              <c:numCache>
                <c:formatCode>General</c:formatCode>
                <c:ptCount val="6"/>
                <c:pt idx="0">
                  <c:v>1.7</c:v>
                </c:pt>
                <c:pt idx="1">
                  <c:v>5.7</c:v>
                </c:pt>
                <c:pt idx="2">
                  <c:v>5.3</c:v>
                </c:pt>
                <c:pt idx="3">
                  <c:v>6.3</c:v>
                </c:pt>
                <c:pt idx="4">
                  <c:v>4.5</c:v>
                </c:pt>
                <c:pt idx="5">
                  <c:v>5.1</c:v>
                </c:pt>
              </c:numCache>
            </c:numRef>
          </c:yVal>
          <c:smooth val="0"/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strRef>
              <c:f>Sheet3!$A$2:$F$2</c:f>
              <c:strCache>
                <c:ptCount val="6"/>
                <c:pt idx="0">
                  <c:v>风速 v (m/s)</c:v>
                </c:pt>
                <c:pt idx="1">
                  <c:v>第 1 次 d (m)</c:v>
                </c:pt>
                <c:pt idx="2">
                  <c:v>第 2 次 d (m)</c:v>
                </c:pt>
                <c:pt idx="3">
                  <c:v>第 3 次 d (m)</c:v>
                </c:pt>
                <c:pt idx="4">
                  <c:v>第 4 次 d (m)</c:v>
                </c:pt>
                <c:pt idx="5">
                  <c:v>第 5 次 d (m)</c:v>
                </c:pt>
              </c:strCache>
            </c:strRef>
          </c:xVal>
          <c:yVal>
            <c:numRef>
              <c:f>Sheet3!$A$6:$F$6</c:f>
              <c:numCache>
                <c:formatCode>General</c:formatCode>
                <c:ptCount val="6"/>
                <c:pt idx="0">
                  <c:v>2.5</c:v>
                </c:pt>
                <c:pt idx="1">
                  <c:v>9.4</c:v>
                </c:pt>
                <c:pt idx="2">
                  <c:v>8.1</c:v>
                </c:pt>
                <c:pt idx="3">
                  <c:v>9.1</c:v>
                </c:pt>
                <c:pt idx="4">
                  <c:v>7.8</c:v>
                </c:pt>
                <c:pt idx="5">
                  <c:v>8.9</c:v>
                </c:pt>
              </c:numCache>
            </c:numRef>
          </c:yVal>
          <c:smooth val="0"/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strRef>
              <c:f>Sheet3!$A$2:$F$2</c:f>
              <c:strCache>
                <c:ptCount val="6"/>
                <c:pt idx="0">
                  <c:v>风速 v (m/s)</c:v>
                </c:pt>
                <c:pt idx="1">
                  <c:v>第 1 次 d (m)</c:v>
                </c:pt>
                <c:pt idx="2">
                  <c:v>第 2 次 d (m)</c:v>
                </c:pt>
                <c:pt idx="3">
                  <c:v>第 3 次 d (m)</c:v>
                </c:pt>
                <c:pt idx="4">
                  <c:v>第 4 次 d (m)</c:v>
                </c:pt>
                <c:pt idx="5">
                  <c:v>第 5 次 d (m)</c:v>
                </c:pt>
              </c:strCache>
            </c:strRef>
          </c:xVal>
          <c:yVal>
            <c:numRef>
              <c:f>Sheet3!$A$7:$F$7</c:f>
              <c:numCache>
                <c:formatCode>General</c:formatCode>
                <c:ptCount val="6"/>
                <c:pt idx="0">
                  <c:v>3.3</c:v>
                </c:pt>
                <c:pt idx="1">
                  <c:v>8.9</c:v>
                </c:pt>
                <c:pt idx="2">
                  <c:v>13.4</c:v>
                </c:pt>
                <c:pt idx="3">
                  <c:v>10.2</c:v>
                </c:pt>
                <c:pt idx="4">
                  <c:v>9.7</c:v>
                </c:pt>
                <c:pt idx="5">
                  <c:v>9.3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828858"/>
        <c:axId val="482328920"/>
      </c:scatterChart>
      <c:valAx>
        <c:axId val="42282885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2328920"/>
        <c:crosses val="autoZero"/>
        <c:crossBetween val="midCat"/>
      </c:valAx>
      <c:valAx>
        <c:axId val="48232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82885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69647f-813e-4e76-8418-9439bd7f88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Sheet2!$A$2:$A$26</c:f>
              <c:numCache>
                <c:formatCode>General</c:formatCode>
                <c:ptCount val="25"/>
                <c:pt idx="0">
                  <c:v>0.2</c:v>
                </c:pt>
                <c:pt idx="1">
                  <c:v>0.8</c:v>
                </c:pt>
                <c:pt idx="2">
                  <c:v>1.7</c:v>
                </c:pt>
                <c:pt idx="3">
                  <c:v>2.5</c:v>
                </c:pt>
                <c:pt idx="4">
                  <c:v>3.3</c:v>
                </c:pt>
                <c:pt idx="5">
                  <c:v>0.2</c:v>
                </c:pt>
                <c:pt idx="6">
                  <c:v>0.8</c:v>
                </c:pt>
                <c:pt idx="7">
                  <c:v>1.7</c:v>
                </c:pt>
                <c:pt idx="8">
                  <c:v>2.5</c:v>
                </c:pt>
                <c:pt idx="9">
                  <c:v>3.3</c:v>
                </c:pt>
                <c:pt idx="10">
                  <c:v>0.2</c:v>
                </c:pt>
                <c:pt idx="11">
                  <c:v>0.8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  <c:pt idx="15">
                  <c:v>0.2</c:v>
                </c:pt>
                <c:pt idx="16">
                  <c:v>0.8</c:v>
                </c:pt>
                <c:pt idx="17">
                  <c:v>1.7</c:v>
                </c:pt>
                <c:pt idx="18">
                  <c:v>2.5</c:v>
                </c:pt>
                <c:pt idx="19">
                  <c:v>3.3</c:v>
                </c:pt>
                <c:pt idx="20">
                  <c:v>0.2</c:v>
                </c:pt>
                <c:pt idx="21">
                  <c:v>0.8</c:v>
                </c:pt>
                <c:pt idx="22">
                  <c:v>1.7</c:v>
                </c:pt>
                <c:pt idx="23">
                  <c:v>2.5</c:v>
                </c:pt>
                <c:pt idx="24">
                  <c:v>3.3</c:v>
                </c:pt>
              </c:numCache>
            </c:numRef>
          </c:xVal>
          <c:yVal>
            <c:numRef>
              <c:f>Sheet2!$B$2:$B$26</c:f>
              <c:numCache>
                <c:formatCode>General</c:formatCode>
                <c:ptCount val="25"/>
                <c:pt idx="0">
                  <c:v>0.3</c:v>
                </c:pt>
                <c:pt idx="1">
                  <c:v>3.8</c:v>
                </c:pt>
                <c:pt idx="2">
                  <c:v>5.7</c:v>
                </c:pt>
                <c:pt idx="3">
                  <c:v>9.4</c:v>
                </c:pt>
                <c:pt idx="4">
                  <c:v>12</c:v>
                </c:pt>
                <c:pt idx="5">
                  <c:v>1</c:v>
                </c:pt>
                <c:pt idx="6">
                  <c:v>2.4</c:v>
                </c:pt>
                <c:pt idx="7">
                  <c:v>5.3</c:v>
                </c:pt>
                <c:pt idx="8">
                  <c:v>8.5</c:v>
                </c:pt>
                <c:pt idx="9">
                  <c:v>11.5</c:v>
                </c:pt>
                <c:pt idx="10">
                  <c:v>2.5</c:v>
                </c:pt>
                <c:pt idx="11">
                  <c:v>3.9</c:v>
                </c:pt>
                <c:pt idx="12">
                  <c:v>6.3</c:v>
                </c:pt>
                <c:pt idx="13">
                  <c:v>9.1</c:v>
                </c:pt>
                <c:pt idx="14">
                  <c:v>10.2</c:v>
                </c:pt>
                <c:pt idx="15">
                  <c:v>1</c:v>
                </c:pt>
                <c:pt idx="16">
                  <c:v>4.2</c:v>
                </c:pt>
                <c:pt idx="17">
                  <c:v>4.8</c:v>
                </c:pt>
                <c:pt idx="18">
                  <c:v>7.4</c:v>
                </c:pt>
                <c:pt idx="19">
                  <c:v>9.8</c:v>
                </c:pt>
                <c:pt idx="20">
                  <c:v>0.7</c:v>
                </c:pt>
                <c:pt idx="21">
                  <c:v>3.5</c:v>
                </c:pt>
                <c:pt idx="22">
                  <c:v>5.1</c:v>
                </c:pt>
                <c:pt idx="23">
                  <c:v>8.9</c:v>
                </c:pt>
                <c:pt idx="24">
                  <c:v>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922554"/>
        <c:axId val="434509779"/>
      </c:scatterChart>
      <c:valAx>
        <c:axId val="5959225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风速 v (m/s)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509779"/>
        <c:crosses val="autoZero"/>
        <c:crossBetween val="midCat"/>
      </c:valAx>
      <c:valAx>
        <c:axId val="4345097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距离（米）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92255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f2aeb9-f433-4cb6-9e33-37c94b5fd5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Sheet1!$D$15</c:f>
              <c:strCache>
                <c:ptCount val="1"/>
                <c:pt idx="0">
                  <c:v>平均距离  (m)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Sheet1!$C$26:$C$30</c:f>
              <c:numCache>
                <c:formatCode>General</c:formatCode>
                <c:ptCount val="5"/>
                <c:pt idx="0">
                  <c:v>0.2</c:v>
                </c:pt>
                <c:pt idx="1">
                  <c:v>0.8</c:v>
                </c:pt>
                <c:pt idx="2">
                  <c:v>1.7</c:v>
                </c:pt>
                <c:pt idx="3">
                  <c:v>2.5</c:v>
                </c:pt>
                <c:pt idx="4">
                  <c:v>3.3</c:v>
                </c:pt>
              </c:numCache>
            </c:numRef>
          </c:xVal>
          <c:yVal>
            <c:numRef>
              <c:f>Sheet1!$D$26:$D$30</c:f>
              <c:numCache>
                <c:formatCode>0.0_ </c:formatCode>
                <c:ptCount val="5"/>
                <c:pt idx="0">
                  <c:v>1.1</c:v>
                </c:pt>
                <c:pt idx="1">
                  <c:v>3.56</c:v>
                </c:pt>
                <c:pt idx="2">
                  <c:v>5.38</c:v>
                </c:pt>
                <c:pt idx="3">
                  <c:v>8.66</c:v>
                </c:pt>
                <c:pt idx="4">
                  <c:v>10.3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85045"/>
        <c:axId val="674142965"/>
      </c:scatterChart>
      <c:valAx>
        <c:axId val="1580850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风速  (m/s)</a:t>
                </a:r>
                <a:endParaRPr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4142965"/>
        <c:crosses val="autoZero"/>
        <c:crossBetween val="midCat"/>
      </c:valAx>
      <c:valAx>
        <c:axId val="6741429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水平位移（</a:t>
                </a:r>
                <a:r>
                  <a:rPr lang="en-US" altLang="zh-CN" sz="1400"/>
                  <a:t>m</a:t>
                </a:r>
                <a:r>
                  <a:rPr sz="1400"/>
                  <a:t>）</a:t>
                </a:r>
                <a:endParaRPr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08504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02297a8-0505-4731-9eac-36af05145c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615950</xdr:colOff>
      <xdr:row>7</xdr:row>
      <xdr:rowOff>431800</xdr:rowOff>
    </xdr:from>
    <xdr:to>
      <xdr:col>12</xdr:col>
      <xdr:colOff>203200</xdr:colOff>
      <xdr:row>23</xdr:row>
      <xdr:rowOff>25400</xdr:rowOff>
    </xdr:to>
    <xdr:graphicFrame>
      <xdr:nvGraphicFramePr>
        <xdr:cNvPr id="3" name="图表 2"/>
        <xdr:cNvGraphicFramePr/>
      </xdr:nvGraphicFramePr>
      <xdr:xfrm>
        <a:off x="8509000" y="3479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292100</xdr:colOff>
      <xdr:row>11</xdr:row>
      <xdr:rowOff>38100</xdr:rowOff>
    </xdr:from>
    <xdr:to>
      <xdr:col>14</xdr:col>
      <xdr:colOff>241300</xdr:colOff>
      <xdr:row>26</xdr:row>
      <xdr:rowOff>38100</xdr:rowOff>
    </xdr:to>
    <xdr:graphicFrame>
      <xdr:nvGraphicFramePr>
        <xdr:cNvPr id="3" name="图表 2"/>
        <xdr:cNvGraphicFramePr/>
      </xdr:nvGraphicFramePr>
      <xdr:xfrm>
        <a:off x="3949700" y="2247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2109470</xdr:colOff>
      <xdr:row>8</xdr:row>
      <xdr:rowOff>152400</xdr:rowOff>
    </xdr:from>
    <xdr:to>
      <xdr:col>13</xdr:col>
      <xdr:colOff>279400</xdr:colOff>
      <xdr:row>19</xdr:row>
      <xdr:rowOff>177800</xdr:rowOff>
    </xdr:to>
    <xdr:graphicFrame>
      <xdr:nvGraphicFramePr>
        <xdr:cNvPr id="2" name="图表 1"/>
        <xdr:cNvGraphicFramePr/>
      </xdr:nvGraphicFramePr>
      <xdr:xfrm>
        <a:off x="5392420" y="2286000"/>
        <a:ext cx="6412230" cy="19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zoomScale="115" zoomScaleNormal="115" workbookViewId="0">
      <selection activeCell="B26" sqref="B26"/>
    </sheetView>
  </sheetViews>
  <sheetFormatPr defaultColWidth="9" defaultRowHeight="14" outlineLevelRow="7"/>
  <cols>
    <col min="1" max="1" width="12" style="1" customWidth="1"/>
    <col min="2" max="8" width="11" style="1" customWidth="1"/>
    <col min="9" max="10" width="12" style="1" customWidth="1"/>
    <col min="11" max="11" width="66" style="1" customWidth="1"/>
  </cols>
  <sheetData>
    <row r="1" ht="26" customHeight="1"/>
    <row r="2" ht="34" customHeight="1" spans="1:1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/>
      <c r="I2" s="5" t="s">
        <v>7</v>
      </c>
      <c r="J2" s="5" t="s">
        <v>8</v>
      </c>
      <c r="K2"/>
    </row>
    <row r="3" ht="36" customHeight="1" spans="1:11">
      <c r="A3" s="24">
        <v>0.2</v>
      </c>
      <c r="B3" s="24">
        <v>0.3</v>
      </c>
      <c r="C3" s="24">
        <v>1</v>
      </c>
      <c r="D3" s="24">
        <v>2.5</v>
      </c>
      <c r="E3" s="24">
        <v>1</v>
      </c>
      <c r="F3" s="24">
        <v>0.7</v>
      </c>
      <c r="G3" s="24">
        <f>AVERAGE(B3:F3)</f>
        <v>1.1</v>
      </c>
      <c r="H3" s="22"/>
      <c r="I3" s="7">
        <v>3.9</v>
      </c>
      <c r="J3" s="25"/>
      <c r="K3"/>
    </row>
    <row r="4" ht="36" customHeight="1" spans="1:11">
      <c r="A4" s="24">
        <v>0.8</v>
      </c>
      <c r="B4" s="24">
        <v>3.8</v>
      </c>
      <c r="C4" s="24">
        <v>2.4</v>
      </c>
      <c r="D4" s="24">
        <v>3.9</v>
      </c>
      <c r="E4" s="24">
        <v>4.2</v>
      </c>
      <c r="F4" s="24">
        <v>3.5</v>
      </c>
      <c r="G4" s="24">
        <f>AVERAGE(B4:F4)</f>
        <v>3.56</v>
      </c>
      <c r="H4" s="22"/>
      <c r="I4" s="7">
        <v>4</v>
      </c>
      <c r="J4" s="25"/>
      <c r="K4"/>
    </row>
    <row r="5" ht="36" customHeight="1" spans="1:11">
      <c r="A5" s="24">
        <v>1.7</v>
      </c>
      <c r="B5" s="24">
        <v>5.7</v>
      </c>
      <c r="C5" s="24">
        <v>5.3</v>
      </c>
      <c r="D5" s="24">
        <v>6.3</v>
      </c>
      <c r="E5" s="24">
        <v>4.5</v>
      </c>
      <c r="F5" s="24">
        <v>5.1</v>
      </c>
      <c r="G5" s="24">
        <f>AVERAGE(B5:F5)</f>
        <v>5.38</v>
      </c>
      <c r="H5" s="22"/>
      <c r="I5" s="7">
        <v>4.1</v>
      </c>
      <c r="J5" s="25"/>
      <c r="K5"/>
    </row>
    <row r="6" ht="36" customHeight="1" spans="1:11">
      <c r="A6" s="24">
        <v>2.5</v>
      </c>
      <c r="B6" s="24">
        <v>9.4</v>
      </c>
      <c r="C6" s="24">
        <v>8.1</v>
      </c>
      <c r="D6" s="24">
        <v>9.1</v>
      </c>
      <c r="E6" s="24">
        <v>7.8</v>
      </c>
      <c r="F6" s="24">
        <v>8.9</v>
      </c>
      <c r="G6" s="24">
        <f>AVERAGE(B6:F6)</f>
        <v>8.66</v>
      </c>
      <c r="H6" s="23"/>
      <c r="I6" s="7">
        <v>4.2</v>
      </c>
      <c r="J6" s="8"/>
      <c r="K6"/>
    </row>
    <row r="7" ht="36" customHeight="1" spans="1:11">
      <c r="A7" s="24">
        <v>3.3</v>
      </c>
      <c r="B7" s="24">
        <v>8.9</v>
      </c>
      <c r="C7" s="24">
        <v>13.4</v>
      </c>
      <c r="D7" s="24">
        <v>10.2</v>
      </c>
      <c r="E7" s="24">
        <v>9.7</v>
      </c>
      <c r="F7" s="24">
        <v>9.3</v>
      </c>
      <c r="G7" s="24">
        <f>AVERAGE(B7:F7)</f>
        <v>10.3</v>
      </c>
      <c r="H7" s="23"/>
      <c r="I7" s="7">
        <v>4.2</v>
      </c>
      <c r="J7" s="8"/>
      <c r="K7"/>
    </row>
    <row r="8" ht="38" customHeight="1" spans="1:11">
      <c r="A8" s="26"/>
      <c r="B8" s="26"/>
      <c r="C8" s="26"/>
      <c r="D8" s="26"/>
      <c r="E8" s="26"/>
      <c r="F8" s="26"/>
      <c r="G8" s="26"/>
      <c r="H8" s="26"/>
      <c r="I8" s="26"/>
      <c r="K8"/>
    </row>
  </sheetData>
  <mergeCells count="1">
    <mergeCell ref="A1:K1"/>
  </mergeCells>
  <pageMargins left="0.699305555555556" right="0.699305555555556" top="0.75" bottom="0.75" header="0.3" footer="0.3"/>
  <pageSetup paperSize="9" scale="11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opLeftCell="A48" workbookViewId="0">
      <selection activeCell="E10" sqref="E10"/>
    </sheetView>
  </sheetViews>
  <sheetFormatPr defaultColWidth="8.72727272727273" defaultRowHeight="14" outlineLevelCol="5"/>
  <sheetData>
    <row r="1" ht="30" spans="1:6">
      <c r="A1" s="5" t="s">
        <v>0</v>
      </c>
      <c r="B1" s="5"/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22">
        <v>0.2</v>
      </c>
      <c r="B2" s="22">
        <v>0.3</v>
      </c>
    </row>
    <row r="3" spans="1:6">
      <c r="A3" s="22">
        <v>0.8</v>
      </c>
      <c r="B3" s="22">
        <v>3.8</v>
      </c>
    </row>
    <row r="4" spans="1:6">
      <c r="A4" s="22">
        <v>1.7</v>
      </c>
      <c r="B4" s="22">
        <v>5.7</v>
      </c>
    </row>
    <row r="5" ht="15" spans="1:6">
      <c r="A5" s="9">
        <v>2.5</v>
      </c>
      <c r="B5" s="23">
        <v>9.4</v>
      </c>
    </row>
    <row r="6" ht="15" spans="1:6">
      <c r="A6" s="9">
        <v>3.3</v>
      </c>
      <c r="B6" s="23">
        <v>12</v>
      </c>
    </row>
    <row r="7" spans="1:6">
      <c r="A7" s="22">
        <v>0.2</v>
      </c>
      <c r="B7" s="22">
        <v>1</v>
      </c>
    </row>
    <row r="8" spans="1:6">
      <c r="A8" s="22">
        <v>0.8</v>
      </c>
      <c r="B8" s="22">
        <v>2.4</v>
      </c>
    </row>
    <row r="9" spans="1:6">
      <c r="A9" s="22">
        <v>1.7</v>
      </c>
      <c r="B9" s="22">
        <v>5.3</v>
      </c>
    </row>
    <row r="10" ht="15" spans="1:6">
      <c r="A10" s="9">
        <v>2.5</v>
      </c>
      <c r="B10" s="23">
        <v>8.5</v>
      </c>
    </row>
    <row r="11" ht="15" spans="1:6">
      <c r="A11" s="9">
        <v>3.3</v>
      </c>
      <c r="B11" s="23">
        <v>11.5</v>
      </c>
    </row>
    <row r="12" spans="1:6">
      <c r="A12" s="22">
        <v>0.2</v>
      </c>
      <c r="B12" s="22">
        <v>2.5</v>
      </c>
    </row>
    <row r="13" spans="1:6">
      <c r="A13" s="22">
        <v>0.8</v>
      </c>
      <c r="B13" s="22">
        <v>3.9</v>
      </c>
    </row>
    <row r="14" spans="1:6">
      <c r="A14" s="22">
        <v>1.7</v>
      </c>
      <c r="B14" s="22">
        <v>6.3</v>
      </c>
    </row>
    <row r="15" ht="15" spans="1:6">
      <c r="A15" s="9">
        <v>2.5</v>
      </c>
      <c r="B15" s="23">
        <v>9.1</v>
      </c>
    </row>
    <row r="16" ht="15" spans="1:6">
      <c r="A16" s="9">
        <v>3.3</v>
      </c>
      <c r="B16" s="23">
        <v>10.2</v>
      </c>
    </row>
    <row r="17" spans="1:4">
      <c r="A17" s="22">
        <v>0.2</v>
      </c>
      <c r="B17" s="22">
        <v>1</v>
      </c>
    </row>
    <row r="18" spans="1:4">
      <c r="A18" s="22">
        <v>0.8</v>
      </c>
      <c r="B18" s="22">
        <v>4.2</v>
      </c>
    </row>
    <row r="19" spans="1:4">
      <c r="A19" s="22">
        <v>1.7</v>
      </c>
      <c r="B19" s="22">
        <v>4.8</v>
      </c>
    </row>
    <row r="20" ht="15" spans="1:4">
      <c r="A20" s="9">
        <v>2.5</v>
      </c>
      <c r="B20" s="23">
        <v>7.4</v>
      </c>
      <c r="D20" t="s">
        <v>0</v>
      </c>
    </row>
    <row r="21" ht="15" spans="1:4">
      <c r="A21" s="9">
        <v>3.3</v>
      </c>
      <c r="B21" s="23">
        <v>9.8</v>
      </c>
    </row>
    <row r="22" spans="1:4">
      <c r="A22" s="22">
        <v>0.2</v>
      </c>
      <c r="B22" s="22">
        <v>0.7</v>
      </c>
    </row>
    <row r="23" spans="1:4">
      <c r="A23" s="22">
        <v>0.8</v>
      </c>
      <c r="B23" s="22">
        <v>3.5</v>
      </c>
    </row>
    <row r="24" spans="1:4">
      <c r="A24" s="22">
        <v>1.7</v>
      </c>
      <c r="B24" s="22">
        <v>5.1</v>
      </c>
    </row>
    <row r="25" ht="15" spans="1:4">
      <c r="A25" s="9">
        <v>2.5</v>
      </c>
      <c r="B25" s="23">
        <v>8.9</v>
      </c>
    </row>
    <row r="26" ht="15" spans="1:4">
      <c r="A26" s="9">
        <v>3.3</v>
      </c>
      <c r="B26" s="23">
        <v>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tabSelected="1" zoomScale="145" zoomScaleNormal="145" topLeftCell="A45" workbookViewId="0">
      <selection activeCell="D68" sqref="D68"/>
    </sheetView>
  </sheetViews>
  <sheetFormatPr defaultColWidth="9" defaultRowHeight="14" outlineLevelCol="4"/>
  <cols>
    <col min="3" max="3" width="15" style="1" customWidth="1"/>
    <col min="4" max="4" width="14" style="1" customWidth="1"/>
    <col min="5" max="5" width="46" style="1" customWidth="1"/>
  </cols>
  <sheetData>
    <row r="1" ht="24" customHeight="1" spans="2:5">
      <c r="C1" s="5" t="s">
        <v>0</v>
      </c>
      <c r="D1" s="3"/>
      <c r="E1" s="4"/>
    </row>
    <row r="2" ht="20" customHeight="1" spans="2:5">
      <c r="C2" s="13">
        <v>0.2</v>
      </c>
      <c r="D2" s="13">
        <v>1.1</v>
      </c>
      <c r="E2" s="16" t="s">
        <v>9</v>
      </c>
    </row>
    <row r="3" ht="20" customHeight="1" spans="2:5">
      <c r="C3" s="13">
        <v>0.8</v>
      </c>
      <c r="D3" s="13">
        <v>3.56</v>
      </c>
      <c r="E3" s="16" t="s">
        <v>9</v>
      </c>
    </row>
    <row r="4" ht="20" customHeight="1" spans="2:5">
      <c r="C4" s="13">
        <v>1.7</v>
      </c>
      <c r="D4" s="13">
        <v>5.78</v>
      </c>
      <c r="E4" s="16" t="s">
        <v>9</v>
      </c>
    </row>
    <row r="5" ht="20" customHeight="1" spans="2:5">
      <c r="C5" s="13">
        <v>2.5</v>
      </c>
      <c r="D5" s="13">
        <v>8.66</v>
      </c>
      <c r="E5" s="16" t="s">
        <v>9</v>
      </c>
    </row>
    <row r="6" ht="20" customHeight="1" spans="2:5">
      <c r="C6" s="13">
        <v>3.3</v>
      </c>
      <c r="D6" s="13">
        <v>10.7</v>
      </c>
      <c r="E6" s="16" t="s">
        <v>9</v>
      </c>
    </row>
    <row r="8" ht="30" customHeight="1" spans="2:5">
      <c r="C8" s="14" t="s">
        <v>10</v>
      </c>
      <c r="D8" s="3"/>
      <c r="E8" s="4"/>
    </row>
    <row r="15" spans="2:5">
      <c r="B15" s="17" t="s">
        <v>11</v>
      </c>
      <c r="C15" s="18" t="s">
        <v>12</v>
      </c>
      <c r="D15" s="18" t="s">
        <v>13</v>
      </c>
    </row>
    <row r="16" spans="2:5">
      <c r="B16" s="19">
        <v>15.5</v>
      </c>
      <c r="C16" s="19">
        <v>0.2</v>
      </c>
      <c r="D16" s="20">
        <v>0.94</v>
      </c>
    </row>
    <row r="17" spans="2:4">
      <c r="B17" s="19">
        <v>15.5</v>
      </c>
      <c r="C17" s="19">
        <v>0.8</v>
      </c>
      <c r="D17" s="20">
        <v>4.2</v>
      </c>
    </row>
    <row r="18" spans="2:4">
      <c r="B18" s="19">
        <v>15.5</v>
      </c>
      <c r="C18" s="19">
        <v>1.7</v>
      </c>
      <c r="D18" s="20">
        <v>7.72</v>
      </c>
    </row>
    <row r="19" spans="2:4">
      <c r="B19" s="19">
        <v>15.5</v>
      </c>
      <c r="C19" s="19">
        <v>2.5</v>
      </c>
      <c r="D19" s="20">
        <v>10.86</v>
      </c>
    </row>
    <row r="20" spans="2:4">
      <c r="B20" s="19">
        <v>15.5</v>
      </c>
      <c r="C20" s="19">
        <v>3.3</v>
      </c>
      <c r="D20" s="20">
        <v>13.87</v>
      </c>
    </row>
    <row r="21" spans="2:4">
      <c r="B21" s="19">
        <v>13.5</v>
      </c>
      <c r="C21" s="19">
        <v>0.2</v>
      </c>
      <c r="D21" s="20">
        <v>0.82</v>
      </c>
    </row>
    <row r="22" spans="2:4">
      <c r="B22" s="19">
        <v>13.5</v>
      </c>
      <c r="C22" s="19">
        <v>0.8</v>
      </c>
      <c r="D22" s="20">
        <v>3.68</v>
      </c>
    </row>
    <row r="23" spans="2:4">
      <c r="B23" s="19">
        <v>13.5</v>
      </c>
      <c r="C23" s="19">
        <v>1.7</v>
      </c>
      <c r="D23" s="20">
        <v>6.91</v>
      </c>
    </row>
    <row r="24" spans="2:4">
      <c r="B24" s="19">
        <v>13.5</v>
      </c>
      <c r="C24" s="19">
        <v>2.5</v>
      </c>
      <c r="D24" s="20">
        <v>9.77</v>
      </c>
    </row>
    <row r="25" spans="2:4">
      <c r="B25" s="19">
        <v>13.5</v>
      </c>
      <c r="C25" s="19">
        <v>3.3</v>
      </c>
      <c r="D25" s="20">
        <v>12.64</v>
      </c>
    </row>
    <row r="26" spans="2:4">
      <c r="B26" s="19">
        <v>11.5</v>
      </c>
      <c r="C26" s="19">
        <v>0.2</v>
      </c>
      <c r="D26" s="20">
        <v>1.1</v>
      </c>
    </row>
    <row r="27" spans="2:4">
      <c r="B27" s="19">
        <v>11.5</v>
      </c>
      <c r="C27" s="19">
        <v>0.8</v>
      </c>
      <c r="D27" s="20">
        <v>3.56</v>
      </c>
    </row>
    <row r="28" spans="2:4">
      <c r="B28" s="19">
        <v>11.5</v>
      </c>
      <c r="C28" s="19">
        <v>1.7</v>
      </c>
      <c r="D28" s="20">
        <v>5.38</v>
      </c>
    </row>
    <row r="29" spans="2:4">
      <c r="B29" s="19">
        <v>11.5</v>
      </c>
      <c r="C29" s="19">
        <v>2.5</v>
      </c>
      <c r="D29" s="20">
        <v>8.66</v>
      </c>
    </row>
    <row r="30" spans="2:4">
      <c r="B30" s="19">
        <v>11.5</v>
      </c>
      <c r="C30" s="19">
        <v>3.3</v>
      </c>
      <c r="D30" s="20">
        <v>10.3</v>
      </c>
    </row>
    <row r="31" spans="2:4">
      <c r="B31" s="19">
        <v>9.5</v>
      </c>
      <c r="C31" s="19">
        <v>0.2</v>
      </c>
      <c r="D31" s="20">
        <v>0.96</v>
      </c>
    </row>
    <row r="32" spans="2:4">
      <c r="B32" s="19">
        <v>9.5</v>
      </c>
      <c r="C32" s="19">
        <v>0.8</v>
      </c>
      <c r="D32" s="20">
        <v>2.88</v>
      </c>
    </row>
    <row r="33" spans="1:4">
      <c r="B33" s="19">
        <v>9.5</v>
      </c>
      <c r="C33" s="19">
        <v>1.7</v>
      </c>
      <c r="D33" s="20">
        <v>4.2</v>
      </c>
    </row>
    <row r="34" spans="1:4">
      <c r="B34" s="19">
        <v>9.5</v>
      </c>
      <c r="C34" s="19">
        <v>2.5</v>
      </c>
      <c r="D34" s="20">
        <v>6.64</v>
      </c>
    </row>
    <row r="35" spans="1:4">
      <c r="B35" s="19">
        <v>9.5</v>
      </c>
      <c r="C35" s="19">
        <v>3.3</v>
      </c>
      <c r="D35" s="20">
        <v>7.96</v>
      </c>
    </row>
    <row r="36" spans="1:4">
      <c r="B36" s="19">
        <v>7.5</v>
      </c>
      <c r="C36" s="19">
        <v>0.2</v>
      </c>
      <c r="D36" s="20">
        <v>0.6</v>
      </c>
    </row>
    <row r="37" spans="1:4">
      <c r="B37" s="19">
        <v>7.5</v>
      </c>
      <c r="C37" s="19">
        <v>0.8</v>
      </c>
      <c r="D37" s="20">
        <v>2.2</v>
      </c>
    </row>
    <row r="38" spans="1:4">
      <c r="B38" s="19">
        <v>7.5</v>
      </c>
      <c r="C38" s="19">
        <v>1.7</v>
      </c>
      <c r="D38" s="20">
        <v>3.01</v>
      </c>
    </row>
    <row r="39" spans="1:4">
      <c r="B39" s="19">
        <v>7.5</v>
      </c>
      <c r="C39" s="19">
        <v>2.5</v>
      </c>
      <c r="D39" s="20">
        <v>4.61</v>
      </c>
    </row>
    <row r="40" spans="1:4">
      <c r="B40" s="19">
        <v>7.5</v>
      </c>
      <c r="C40" s="19">
        <v>3.3</v>
      </c>
      <c r="D40" s="20">
        <v>5.61</v>
      </c>
    </row>
    <row r="48" spans="1:4">
      <c r="A48" s="21" t="s">
        <v>14</v>
      </c>
      <c r="B48" s="17" t="s">
        <v>11</v>
      </c>
      <c r="C48" s="18" t="s">
        <v>12</v>
      </c>
      <c r="D48" s="18" t="s">
        <v>13</v>
      </c>
    </row>
    <row r="49" spans="1:4">
      <c r="A49">
        <v>1</v>
      </c>
      <c r="B49" s="19">
        <v>15.5</v>
      </c>
      <c r="C49" s="19">
        <v>0.2</v>
      </c>
      <c r="D49" s="20">
        <v>0.94</v>
      </c>
    </row>
    <row r="50" spans="1:4">
      <c r="A50">
        <v>2</v>
      </c>
      <c r="B50" s="19">
        <v>15.5</v>
      </c>
      <c r="C50" s="19">
        <v>1.7</v>
      </c>
      <c r="D50" s="20">
        <v>7.72</v>
      </c>
    </row>
    <row r="51" spans="1:4">
      <c r="A51">
        <v>3</v>
      </c>
      <c r="B51" s="19">
        <v>15.5</v>
      </c>
      <c r="C51" s="19">
        <v>2.5</v>
      </c>
      <c r="D51" s="20">
        <v>10.86</v>
      </c>
    </row>
    <row r="52" spans="1:4">
      <c r="A52">
        <v>4</v>
      </c>
      <c r="B52" s="19">
        <v>15.5</v>
      </c>
      <c r="C52" s="19">
        <v>3.3</v>
      </c>
      <c r="D52" s="20">
        <v>13.87</v>
      </c>
    </row>
    <row r="53" spans="1:4">
      <c r="A53">
        <v>5</v>
      </c>
      <c r="B53" s="19">
        <v>13.5</v>
      </c>
      <c r="C53" s="19">
        <v>0.2</v>
      </c>
      <c r="D53" s="20">
        <v>0.82</v>
      </c>
    </row>
    <row r="54" spans="1:4">
      <c r="A54">
        <v>6</v>
      </c>
      <c r="B54" s="19">
        <v>13.5</v>
      </c>
      <c r="C54" s="19">
        <v>0.8</v>
      </c>
      <c r="D54" s="20">
        <v>3.68</v>
      </c>
    </row>
    <row r="55" spans="1:4">
      <c r="A55">
        <v>7</v>
      </c>
      <c r="B55" s="19">
        <v>13.5</v>
      </c>
      <c r="C55" s="19">
        <v>2.5</v>
      </c>
      <c r="D55" s="20">
        <v>9.77</v>
      </c>
    </row>
    <row r="56" spans="1:4">
      <c r="A56">
        <v>8</v>
      </c>
      <c r="B56" s="19">
        <v>13.5</v>
      </c>
      <c r="C56" s="19">
        <v>3.3</v>
      </c>
      <c r="D56" s="20">
        <v>12.64</v>
      </c>
    </row>
    <row r="57" spans="1:4">
      <c r="A57">
        <v>9</v>
      </c>
      <c r="B57" s="19">
        <v>11.5</v>
      </c>
      <c r="C57" s="19">
        <v>0.2</v>
      </c>
      <c r="D57" s="20">
        <v>1.1</v>
      </c>
    </row>
    <row r="58" spans="1:4">
      <c r="A58">
        <v>10</v>
      </c>
      <c r="B58" s="19">
        <v>11.5</v>
      </c>
      <c r="C58" s="19">
        <v>0.8</v>
      </c>
      <c r="D58" s="20">
        <v>3.56</v>
      </c>
    </row>
    <row r="59" spans="1:4">
      <c r="A59">
        <v>11</v>
      </c>
      <c r="B59" s="19">
        <v>11.5</v>
      </c>
      <c r="C59" s="19">
        <v>1.7</v>
      </c>
      <c r="D59" s="20">
        <v>5.38</v>
      </c>
    </row>
    <row r="60" spans="1:4">
      <c r="A60">
        <v>12</v>
      </c>
      <c r="B60" s="19">
        <v>11.5</v>
      </c>
      <c r="C60" s="19">
        <v>3.3</v>
      </c>
      <c r="D60" s="20">
        <v>10.3</v>
      </c>
    </row>
    <row r="61" spans="1:4">
      <c r="A61">
        <v>13</v>
      </c>
      <c r="B61" s="19">
        <v>9.5</v>
      </c>
      <c r="C61" s="19">
        <v>0.2</v>
      </c>
      <c r="D61" s="20">
        <v>0.96</v>
      </c>
    </row>
    <row r="62" spans="1:4">
      <c r="A62">
        <v>14</v>
      </c>
      <c r="B62" s="19">
        <v>9.5</v>
      </c>
      <c r="C62" s="19">
        <v>0.8</v>
      </c>
      <c r="D62" s="20">
        <v>2.88</v>
      </c>
    </row>
    <row r="63" spans="1:4">
      <c r="A63">
        <v>15</v>
      </c>
      <c r="B63" s="19">
        <v>9.5</v>
      </c>
      <c r="C63" s="19">
        <v>1.7</v>
      </c>
      <c r="D63" s="20">
        <v>4.2</v>
      </c>
    </row>
    <row r="64" spans="1:4">
      <c r="A64">
        <v>16</v>
      </c>
      <c r="B64" s="19">
        <v>9.5</v>
      </c>
      <c r="C64" s="19">
        <v>2.5</v>
      </c>
      <c r="D64" s="20">
        <v>6.64</v>
      </c>
    </row>
    <row r="65" spans="1:4">
      <c r="A65">
        <v>17</v>
      </c>
      <c r="B65" s="19">
        <v>7.5</v>
      </c>
      <c r="C65" s="19">
        <v>0.8</v>
      </c>
      <c r="D65" s="20">
        <v>2.2</v>
      </c>
    </row>
    <row r="66" spans="1:4">
      <c r="A66">
        <v>18</v>
      </c>
      <c r="B66" s="19">
        <v>7.5</v>
      </c>
      <c r="C66" s="19">
        <v>1.7</v>
      </c>
      <c r="D66" s="20">
        <v>3.01</v>
      </c>
    </row>
    <row r="67" spans="1:4">
      <c r="A67">
        <v>19</v>
      </c>
      <c r="B67" s="19">
        <v>7.5</v>
      </c>
      <c r="C67" s="19">
        <v>2.5</v>
      </c>
      <c r="D67" s="20">
        <v>4.61</v>
      </c>
    </row>
    <row r="68" spans="1:4">
      <c r="A68">
        <v>20</v>
      </c>
      <c r="B68" s="19">
        <v>7.5</v>
      </c>
      <c r="C68" s="19">
        <v>3.3</v>
      </c>
      <c r="D68" s="20">
        <v>5.61</v>
      </c>
    </row>
  </sheetData>
  <mergeCells count="2">
    <mergeCell ref="C1:E1"/>
    <mergeCell ref="C8:E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H2" sqref="B2:B7 H2:H7"/>
    </sheetView>
  </sheetViews>
  <sheetFormatPr defaultColWidth="9" defaultRowHeight="14"/>
  <cols>
    <col min="1" max="1" width="13" style="1" customWidth="1"/>
    <col min="2" max="2" width="12" style="1" customWidth="1"/>
    <col min="3" max="7" width="11" style="1" customWidth="1"/>
    <col min="8" max="9" width="12" style="1" customWidth="1"/>
    <col min="10" max="10" width="66" style="1" customWidth="1"/>
  </cols>
  <sheetData>
    <row r="1" ht="26" customHeight="1" spans="1:10">
      <c r="A1" s="2" t="s">
        <v>15</v>
      </c>
      <c r="B1" s="3"/>
      <c r="C1" s="3"/>
      <c r="D1" s="3"/>
      <c r="E1" s="3"/>
      <c r="F1" s="3"/>
      <c r="G1" s="3"/>
      <c r="H1" s="3"/>
      <c r="I1" s="3"/>
      <c r="J1" s="4"/>
    </row>
    <row r="2" ht="34" customHeight="1" spans="1:10">
      <c r="A2" s="5" t="s">
        <v>16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ht="42" customHeight="1" spans="1:10">
      <c r="A3" s="9">
        <v>7.5</v>
      </c>
      <c r="B3" s="9">
        <v>0</v>
      </c>
      <c r="C3" s="15"/>
      <c r="D3" s="15"/>
      <c r="E3" s="15"/>
      <c r="F3" s="15"/>
      <c r="G3" s="15"/>
      <c r="H3" s="7">
        <v>0.6</v>
      </c>
      <c r="I3" s="7">
        <v>3.18</v>
      </c>
      <c r="J3" s="8" t="s">
        <v>17</v>
      </c>
    </row>
    <row r="4" ht="42" customHeight="1" spans="1:10">
      <c r="A4" s="9">
        <v>7.5</v>
      </c>
      <c r="B4" s="9">
        <v>0.8</v>
      </c>
      <c r="C4" s="15"/>
      <c r="D4" s="15"/>
      <c r="E4" s="15"/>
      <c r="F4" s="15"/>
      <c r="G4" s="15"/>
      <c r="H4" s="7">
        <v>2.2</v>
      </c>
      <c r="I4" s="7">
        <v>3.18</v>
      </c>
      <c r="J4" s="8" t="s">
        <v>18</v>
      </c>
    </row>
    <row r="5" ht="42" customHeight="1" spans="1:10">
      <c r="A5" s="9">
        <v>7.5</v>
      </c>
      <c r="B5" s="9">
        <v>1.7</v>
      </c>
      <c r="C5" s="15"/>
      <c r="D5" s="15"/>
      <c r="E5" s="15"/>
      <c r="F5" s="15"/>
      <c r="G5" s="15"/>
      <c r="H5" s="7">
        <v>3.01</v>
      </c>
      <c r="I5" s="7">
        <v>3.18</v>
      </c>
      <c r="J5" s="8" t="s">
        <v>19</v>
      </c>
    </row>
    <row r="6" ht="42" customHeight="1" spans="1:10">
      <c r="A6" s="9">
        <v>7.5</v>
      </c>
      <c r="B6" s="9">
        <v>2.5</v>
      </c>
      <c r="C6" s="15"/>
      <c r="D6" s="15"/>
      <c r="E6" s="15"/>
      <c r="F6" s="15"/>
      <c r="G6" s="15"/>
      <c r="H6" s="7">
        <v>4.61</v>
      </c>
      <c r="I6" s="7">
        <v>3.18</v>
      </c>
      <c r="J6" s="8" t="s">
        <v>20</v>
      </c>
    </row>
    <row r="7" ht="42" customHeight="1" spans="1:10">
      <c r="A7" s="9">
        <v>7.5</v>
      </c>
      <c r="B7" s="9">
        <v>3.3</v>
      </c>
      <c r="C7" s="15"/>
      <c r="D7" s="15"/>
      <c r="E7" s="15"/>
      <c r="F7" s="15"/>
      <c r="G7" s="15"/>
      <c r="H7" s="7">
        <v>5.61</v>
      </c>
      <c r="I7" s="7">
        <v>3.18</v>
      </c>
      <c r="J7" s="8" t="s">
        <v>21</v>
      </c>
    </row>
    <row r="9" ht="150" customHeight="1" spans="1:10">
      <c r="A9" s="14" t="s">
        <v>22</v>
      </c>
      <c r="B9" s="3"/>
      <c r="C9" s="3"/>
      <c r="D9" s="3"/>
      <c r="E9" s="3"/>
      <c r="F9" s="3"/>
      <c r="G9" s="3"/>
      <c r="H9" s="3"/>
      <c r="I9" s="3"/>
      <c r="J9" s="4"/>
    </row>
  </sheetData>
  <mergeCells count="2">
    <mergeCell ref="A1:J1"/>
    <mergeCell ref="A9:J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H2" sqref="A2:B7 H2:H7"/>
    </sheetView>
  </sheetViews>
  <sheetFormatPr defaultColWidth="9" defaultRowHeight="14"/>
  <cols>
    <col min="1" max="1" width="13" style="1" customWidth="1"/>
    <col min="2" max="2" width="12" style="1" customWidth="1"/>
    <col min="3" max="7" width="11" style="1" customWidth="1"/>
    <col min="8" max="9" width="12" style="1" customWidth="1"/>
    <col min="10" max="10" width="66" style="1" customWidth="1"/>
  </cols>
  <sheetData>
    <row r="1" ht="26" customHeight="1" spans="1:10">
      <c r="A1" s="2" t="s">
        <v>23</v>
      </c>
      <c r="B1" s="3"/>
      <c r="C1" s="3"/>
      <c r="D1" s="3"/>
      <c r="E1" s="3"/>
      <c r="F1" s="3"/>
      <c r="G1" s="3"/>
      <c r="H1" s="3"/>
      <c r="I1" s="3"/>
      <c r="J1" s="4"/>
    </row>
    <row r="2" ht="34" customHeight="1" spans="1:10">
      <c r="A2" s="5" t="s">
        <v>16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ht="42" customHeight="1" spans="1:10">
      <c r="A3" s="9">
        <v>13.5</v>
      </c>
      <c r="B3" s="9">
        <v>0.2</v>
      </c>
      <c r="C3" s="15"/>
      <c r="D3" s="15"/>
      <c r="E3" s="15"/>
      <c r="F3" s="15"/>
      <c r="G3" s="15"/>
      <c r="H3" s="7">
        <v>0.82</v>
      </c>
      <c r="I3" s="7">
        <v>4.48</v>
      </c>
      <c r="J3" s="8" t="s">
        <v>24</v>
      </c>
    </row>
    <row r="4" ht="42" customHeight="1" spans="1:10">
      <c r="A4" s="9">
        <v>13.5</v>
      </c>
      <c r="B4" s="9">
        <v>0.8</v>
      </c>
      <c r="C4" s="15"/>
      <c r="D4" s="15"/>
      <c r="E4" s="15"/>
      <c r="F4" s="15"/>
      <c r="G4" s="15"/>
      <c r="H4" s="7">
        <v>3.68</v>
      </c>
      <c r="I4" s="7">
        <v>4.48</v>
      </c>
      <c r="J4" s="8" t="s">
        <v>25</v>
      </c>
    </row>
    <row r="5" ht="42" customHeight="1" spans="1:10">
      <c r="A5" s="9">
        <v>13.5</v>
      </c>
      <c r="B5" s="9">
        <v>1.7</v>
      </c>
      <c r="C5" s="15"/>
      <c r="D5" s="15"/>
      <c r="E5" s="15"/>
      <c r="F5" s="15"/>
      <c r="G5" s="15"/>
      <c r="H5" s="7">
        <v>6.91</v>
      </c>
      <c r="I5" s="7">
        <v>4.48</v>
      </c>
      <c r="J5" s="8" t="s">
        <v>26</v>
      </c>
    </row>
    <row r="6" ht="42" customHeight="1" spans="1:10">
      <c r="A6" s="9">
        <v>13.5</v>
      </c>
      <c r="B6" s="9">
        <v>2.5</v>
      </c>
      <c r="C6" s="15"/>
      <c r="D6" s="15"/>
      <c r="E6" s="15"/>
      <c r="F6" s="15"/>
      <c r="G6" s="15"/>
      <c r="H6" s="7">
        <v>9.77</v>
      </c>
      <c r="I6" s="7">
        <v>4.48</v>
      </c>
      <c r="J6" s="8" t="s">
        <v>27</v>
      </c>
    </row>
    <row r="7" ht="42" customHeight="1" spans="1:10">
      <c r="A7" s="9">
        <v>13.5</v>
      </c>
      <c r="B7" s="9">
        <v>3.3</v>
      </c>
      <c r="C7" s="15"/>
      <c r="D7" s="15"/>
      <c r="E7" s="15"/>
      <c r="F7" s="15"/>
      <c r="G7" s="15"/>
      <c r="H7" s="7">
        <v>12.64</v>
      </c>
      <c r="I7" s="7">
        <v>4.48</v>
      </c>
      <c r="J7" s="8" t="s">
        <v>28</v>
      </c>
    </row>
    <row r="9" ht="150" customHeight="1" spans="1:10">
      <c r="A9" s="14" t="s">
        <v>29</v>
      </c>
      <c r="B9" s="3"/>
      <c r="C9" s="3"/>
      <c r="D9" s="3"/>
      <c r="E9" s="3"/>
      <c r="F9" s="3"/>
      <c r="G9" s="3"/>
      <c r="H9" s="3"/>
      <c r="I9" s="3"/>
      <c r="J9" s="4"/>
    </row>
  </sheetData>
  <mergeCells count="2">
    <mergeCell ref="A1:J1"/>
    <mergeCell ref="A9:J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:J1"/>
    </sheetView>
  </sheetViews>
  <sheetFormatPr defaultColWidth="9" defaultRowHeight="14"/>
  <cols>
    <col min="1" max="1" width="13" style="1" customWidth="1"/>
    <col min="2" max="2" width="12" style="1" customWidth="1"/>
    <col min="3" max="7" width="11" style="1" customWidth="1"/>
    <col min="8" max="9" width="12" style="1" customWidth="1"/>
    <col min="10" max="10" width="66" style="1" customWidth="1"/>
  </cols>
  <sheetData>
    <row r="1" ht="26" customHeight="1" spans="1:10">
      <c r="A1" s="2" t="s">
        <v>30</v>
      </c>
      <c r="B1" s="3"/>
      <c r="C1" s="3"/>
      <c r="D1" s="3"/>
      <c r="E1" s="3"/>
      <c r="F1" s="3"/>
      <c r="G1" s="3"/>
      <c r="H1" s="3"/>
      <c r="I1" s="3"/>
      <c r="J1" s="4"/>
    </row>
    <row r="2" ht="34" customHeight="1" spans="1:10">
      <c r="A2" s="5" t="s">
        <v>16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ht="42" customHeight="1" spans="1:10">
      <c r="A3" s="9">
        <v>15.5</v>
      </c>
      <c r="B3" s="9">
        <v>0</v>
      </c>
      <c r="C3" s="15"/>
      <c r="D3" s="15"/>
      <c r="E3" s="15"/>
      <c r="F3" s="15"/>
      <c r="G3" s="15"/>
      <c r="H3" s="7">
        <v>0.88</v>
      </c>
      <c r="I3" s="7">
        <v>4.85</v>
      </c>
      <c r="J3" s="8" t="s">
        <v>31</v>
      </c>
    </row>
    <row r="4" ht="42" customHeight="1" spans="1:10">
      <c r="A4" s="9">
        <v>15.5</v>
      </c>
      <c r="B4" s="9">
        <v>0.8</v>
      </c>
      <c r="C4" s="15"/>
      <c r="D4" s="15"/>
      <c r="E4" s="15"/>
      <c r="F4" s="15"/>
      <c r="G4" s="15"/>
      <c r="H4" s="7">
        <v>4.16</v>
      </c>
      <c r="I4" s="7">
        <v>4.85</v>
      </c>
      <c r="J4" s="8" t="s">
        <v>32</v>
      </c>
    </row>
    <row r="5" ht="42" customHeight="1" spans="1:10">
      <c r="A5" s="9">
        <v>15.5</v>
      </c>
      <c r="B5" s="9">
        <v>1.7</v>
      </c>
      <c r="C5" s="15"/>
      <c r="D5" s="15"/>
      <c r="E5" s="15"/>
      <c r="F5" s="15"/>
      <c r="G5" s="15"/>
      <c r="H5" s="7">
        <v>7.86</v>
      </c>
      <c r="I5" s="7">
        <v>4.85</v>
      </c>
      <c r="J5" s="8" t="s">
        <v>33</v>
      </c>
    </row>
    <row r="6" ht="42" customHeight="1" spans="1:10">
      <c r="A6" s="9">
        <v>15.5</v>
      </c>
      <c r="B6" s="9">
        <v>2.5</v>
      </c>
      <c r="C6" s="15"/>
      <c r="D6" s="15"/>
      <c r="E6" s="15"/>
      <c r="F6" s="15"/>
      <c r="G6" s="15"/>
      <c r="H6" s="7">
        <v>11.14</v>
      </c>
      <c r="I6" s="7">
        <v>4.85</v>
      </c>
      <c r="J6" s="8" t="s">
        <v>34</v>
      </c>
    </row>
    <row r="7" ht="42" customHeight="1" spans="1:10">
      <c r="A7" s="9">
        <v>15.5</v>
      </c>
      <c r="B7" s="9">
        <v>3.3</v>
      </c>
      <c r="C7" s="15"/>
      <c r="D7" s="15"/>
      <c r="E7" s="15"/>
      <c r="F7" s="15"/>
      <c r="G7" s="15"/>
      <c r="H7" s="7">
        <v>14.43</v>
      </c>
      <c r="I7" s="7">
        <v>4.85</v>
      </c>
      <c r="J7" s="8" t="s">
        <v>35</v>
      </c>
    </row>
    <row r="9" ht="150" customHeight="1" spans="1:10">
      <c r="A9" s="14" t="s">
        <v>36</v>
      </c>
      <c r="B9" s="3"/>
      <c r="C9" s="3"/>
      <c r="D9" s="3"/>
      <c r="E9" s="3"/>
      <c r="F9" s="3"/>
      <c r="G9" s="3"/>
      <c r="H9" s="3"/>
      <c r="I9" s="3"/>
      <c r="J9" s="4"/>
    </row>
  </sheetData>
  <mergeCells count="2">
    <mergeCell ref="A1:J1"/>
    <mergeCell ref="A9:J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G27" sqref="G19:G27"/>
    </sheetView>
  </sheetViews>
  <sheetFormatPr defaultColWidth="9" defaultRowHeight="14" outlineLevelCol="6"/>
  <cols>
    <col min="1" max="1" width="16" style="1" customWidth="1"/>
    <col min="2" max="2" width="14" style="1" customWidth="1"/>
    <col min="3" max="5" width="13" style="1" customWidth="1"/>
    <col min="6" max="6" width="22" style="1" customWidth="1"/>
    <col min="7" max="7" width="46" style="1" customWidth="1"/>
  </cols>
  <sheetData>
    <row r="1" ht="26" customHeight="1" spans="1:7">
      <c r="A1" s="2" t="s">
        <v>37</v>
      </c>
      <c r="B1" s="3"/>
      <c r="C1" s="3"/>
      <c r="D1" s="3"/>
      <c r="E1" s="3"/>
      <c r="F1" s="3"/>
      <c r="G1" s="4"/>
    </row>
    <row r="2" ht="26" customHeight="1" spans="1:7">
      <c r="A2" s="5" t="s">
        <v>38</v>
      </c>
      <c r="B2" s="5" t="s">
        <v>39</v>
      </c>
      <c r="C2" s="5" t="s">
        <v>40</v>
      </c>
      <c r="D2" s="5" t="s">
        <v>7</v>
      </c>
      <c r="E2" s="5" t="s">
        <v>41</v>
      </c>
      <c r="F2" s="5" t="s">
        <v>42</v>
      </c>
      <c r="G2" s="5" t="s">
        <v>43</v>
      </c>
    </row>
    <row r="3" ht="15" spans="1:7">
      <c r="A3" s="6">
        <v>7.5</v>
      </c>
      <c r="B3" s="7">
        <v>2.003</v>
      </c>
      <c r="C3" s="7">
        <v>0.602</v>
      </c>
      <c r="D3" s="7">
        <v>3.18</v>
      </c>
      <c r="E3" s="7" t="s">
        <v>44</v>
      </c>
      <c r="F3" s="8" t="s">
        <v>45</v>
      </c>
    </row>
    <row r="4" ht="15" spans="1:7">
      <c r="A4" s="6">
        <v>13.5</v>
      </c>
      <c r="B4" s="7">
        <v>3.581</v>
      </c>
      <c r="C4" s="7">
        <v>0.819</v>
      </c>
      <c r="D4" s="7">
        <v>4.48</v>
      </c>
      <c r="E4" s="7" t="s">
        <v>44</v>
      </c>
      <c r="F4" s="8" t="s">
        <v>45</v>
      </c>
    </row>
    <row r="5" ht="15" spans="1:7">
      <c r="A5" s="6">
        <v>15.5</v>
      </c>
      <c r="B5" s="7">
        <v>4.105</v>
      </c>
      <c r="C5" s="7">
        <v>0.88</v>
      </c>
      <c r="D5" s="7">
        <v>4.85</v>
      </c>
      <c r="E5" s="7" t="s">
        <v>44</v>
      </c>
      <c r="F5" s="8" t="s">
        <v>45</v>
      </c>
    </row>
    <row r="6" ht="15" spans="1:7">
      <c r="A6" s="9">
        <v>11.5</v>
      </c>
      <c r="B6" s="9">
        <v>3.0559</v>
      </c>
      <c r="C6" s="9">
        <v>0.753</v>
      </c>
      <c r="D6" s="9">
        <v>4.08</v>
      </c>
      <c r="E6" s="9">
        <v>0.9942</v>
      </c>
      <c r="F6" s="10" t="s">
        <v>46</v>
      </c>
    </row>
    <row r="7" ht="27" spans="1:7">
      <c r="A7" s="9">
        <v>1.55</v>
      </c>
      <c r="B7" s="9">
        <v>0.4215</v>
      </c>
      <c r="C7" s="9">
        <v>0.2633</v>
      </c>
      <c r="D7" s="9">
        <v>1.28</v>
      </c>
      <c r="E7" s="9">
        <v>0.881</v>
      </c>
      <c r="F7" s="10" t="s">
        <v>47</v>
      </c>
    </row>
    <row r="9" ht="16.5" spans="1:7">
      <c r="A9" s="11" t="s">
        <v>48</v>
      </c>
      <c r="B9" s="3"/>
      <c r="C9" s="3"/>
      <c r="D9" s="3"/>
      <c r="E9" s="3"/>
      <c r="F9" s="3"/>
      <c r="G9" s="4"/>
    </row>
    <row r="10" ht="24" customHeight="1" spans="1:7">
      <c r="A10" s="5" t="s">
        <v>38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53</v>
      </c>
      <c r="G10" s="5" t="s">
        <v>54</v>
      </c>
    </row>
    <row r="11" ht="15" spans="1:7">
      <c r="A11" s="6">
        <v>7.5</v>
      </c>
      <c r="B11" s="7">
        <v>0.6</v>
      </c>
      <c r="C11" s="7">
        <v>2.2</v>
      </c>
      <c r="D11" s="7">
        <v>4.01</v>
      </c>
      <c r="E11" s="7">
        <v>5.61</v>
      </c>
      <c r="F11" s="7">
        <v>7.21</v>
      </c>
      <c r="G11" s="12" t="s">
        <v>55</v>
      </c>
    </row>
    <row r="12" ht="15" spans="1:7">
      <c r="A12" s="6">
        <v>13.5</v>
      </c>
      <c r="B12" s="7">
        <v>0.82</v>
      </c>
      <c r="C12" s="7">
        <v>3.68</v>
      </c>
      <c r="D12" s="7">
        <v>6.91</v>
      </c>
      <c r="E12" s="7">
        <v>9.77</v>
      </c>
      <c r="F12" s="7">
        <v>12.64</v>
      </c>
      <c r="G12" s="12" t="s">
        <v>56</v>
      </c>
    </row>
    <row r="13" ht="15" spans="1:7">
      <c r="A13" s="6">
        <v>15.5</v>
      </c>
      <c r="B13" s="7">
        <v>0.88</v>
      </c>
      <c r="C13" s="7">
        <v>4.16</v>
      </c>
      <c r="D13" s="7">
        <v>7.86</v>
      </c>
      <c r="E13" s="7">
        <v>11.14</v>
      </c>
      <c r="F13" s="7">
        <v>14.43</v>
      </c>
      <c r="G13" s="12" t="s">
        <v>57</v>
      </c>
    </row>
    <row r="14" ht="15" spans="1:7">
      <c r="A14" s="9">
        <v>11.5</v>
      </c>
      <c r="B14" s="13">
        <v>0.75</v>
      </c>
      <c r="C14" s="13">
        <v>3.2</v>
      </c>
      <c r="D14" s="13">
        <v>5.95</v>
      </c>
      <c r="E14" s="13">
        <v>8.39</v>
      </c>
      <c r="F14" s="13">
        <v>10.84</v>
      </c>
      <c r="G14" s="10" t="s">
        <v>58</v>
      </c>
    </row>
    <row r="15" ht="15" spans="1:7">
      <c r="A15" s="9">
        <v>1.55</v>
      </c>
      <c r="B15" s="13">
        <v>0.26</v>
      </c>
      <c r="C15" s="13">
        <v>0.6</v>
      </c>
      <c r="D15" s="13">
        <v>0.98</v>
      </c>
      <c r="E15" s="13">
        <v>1.32</v>
      </c>
      <c r="F15" s="13">
        <v>1.65</v>
      </c>
      <c r="G15" s="10" t="s">
        <v>59</v>
      </c>
    </row>
    <row r="17" ht="118" customHeight="1" spans="1:7">
      <c r="A17" s="14" t="s">
        <v>60</v>
      </c>
      <c r="B17" s="3"/>
      <c r="C17" s="3"/>
      <c r="D17" s="3"/>
      <c r="E17" s="3"/>
      <c r="F17" s="3"/>
      <c r="G17" s="4"/>
    </row>
  </sheetData>
  <mergeCells count="3">
    <mergeCell ref="A1:G1"/>
    <mergeCell ref="A9:G9"/>
    <mergeCell ref="A17:G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Sheet3</vt:lpstr>
      <vt:lpstr>Sheet2</vt:lpstr>
      <vt:lpstr>Sheet1</vt:lpstr>
      <vt:lpstr>7.5m原始记录</vt:lpstr>
      <vt:lpstr>13.5m原始记录</vt:lpstr>
      <vt:lpstr>15.5m原始记录</vt:lpstr>
      <vt:lpstr>三高度汇总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liaoyuan pan</dc:creator>
  <cp:lastModifiedBy>潘燎原</cp:lastModifiedBy>
  <dcterms:created xsi:type="dcterms:W3CDTF">2023-05-12T11:15:00Z</dcterms:created>
  <dcterms:modified xsi:type="dcterms:W3CDTF">2026-10-07T07:01:23Z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68F1DA52F02940EE92FF028402036F4E_13</vt:lpwstr>
  </property>
  <property fmtid="{D5CDD505-2E9C-101B-9397-08002B2CF9AE}" pid="4" name="CalculationRule">
    <vt:i4>0</vt:i4>
  </property>
</Properties>
</file>